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Analytics\Mock1\"/>
    </mc:Choice>
  </mc:AlternateContent>
  <xr:revisionPtr revIDLastSave="0" documentId="13_ncr:1_{FF7FD9C3-BC73-402A-A521-96A2DBD0AE17}" xr6:coauthVersionLast="47" xr6:coauthVersionMax="47" xr10:uidLastSave="{00000000-0000-0000-0000-000000000000}"/>
  <bookViews>
    <workbookView xWindow="-108" yWindow="-108" windowWidth="23256" windowHeight="12456" activeTab="2" xr2:uid="{D174F1C9-D00B-46B2-8301-5DE0E5450837}"/>
  </bookViews>
  <sheets>
    <sheet name="sales_data" sheetId="1" r:id="rId1"/>
    <sheet name="product_master" sheetId="2" r:id="rId2"/>
    <sheet name="monthly_target" sheetId="3" r:id="rId3"/>
  </sheets>
  <definedNames>
    <definedName name="_xlnm._FilterDatabase" localSheetId="2" hidden="1">monthly_target!$D$7:$G$7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" i="1" l="1"/>
  <c r="R9" i="1"/>
  <c r="R10" i="1"/>
  <c r="R11" i="1"/>
  <c r="R12" i="1"/>
  <c r="R13" i="1"/>
  <c r="R14" i="1"/>
  <c r="R15" i="1"/>
  <c r="R16" i="1"/>
  <c r="R7" i="1"/>
  <c r="Q8" i="1"/>
  <c r="Q9" i="1"/>
  <c r="Q10" i="1"/>
  <c r="Q11" i="1"/>
  <c r="Q12" i="1"/>
  <c r="Q13" i="1"/>
  <c r="Q14" i="1"/>
  <c r="Q15" i="1"/>
  <c r="Q16" i="1"/>
  <c r="Q7" i="1"/>
  <c r="E7" i="3"/>
  <c r="F7" i="3"/>
  <c r="G7" i="3"/>
  <c r="D7" i="3"/>
  <c r="I19" i="1"/>
  <c r="H19" i="1"/>
  <c r="G19" i="1"/>
  <c r="F19" i="1"/>
  <c r="H5" i="2" a="1"/>
  <c r="H5" i="2" s="1"/>
  <c r="J5" i="2"/>
  <c r="O18" i="1"/>
  <c r="O8" i="1"/>
  <c r="O9" i="1"/>
  <c r="O10" i="1"/>
  <c r="O11" i="1"/>
  <c r="O12" i="1"/>
  <c r="O13" i="1"/>
  <c r="O14" i="1"/>
  <c r="O15" i="1"/>
  <c r="O16" i="1"/>
  <c r="O7" i="1"/>
  <c r="M8" i="1"/>
  <c r="M9" i="1"/>
  <c r="M10" i="1"/>
  <c r="M11" i="1"/>
  <c r="M12" i="1"/>
  <c r="M13" i="1"/>
  <c r="M14" i="1"/>
  <c r="M15" i="1"/>
  <c r="M16" i="1"/>
  <c r="M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<sst xmlns="http://schemas.openxmlformats.org/spreadsheetml/2006/main" count="86" uniqueCount="60">
  <si>
    <t>Employee ID</t>
  </si>
  <si>
    <t>Employee Name</t>
  </si>
  <si>
    <t>Region</t>
  </si>
  <si>
    <t>Product ID</t>
  </si>
  <si>
    <t>Units Sold</t>
  </si>
  <si>
    <t>Sales Amount</t>
  </si>
  <si>
    <t>E101</t>
  </si>
  <si>
    <t>Rahul Mehta</t>
  </si>
  <si>
    <t>North</t>
  </si>
  <si>
    <t>P001</t>
  </si>
  <si>
    <t>E102</t>
  </si>
  <si>
    <t>Priya Sharma</t>
  </si>
  <si>
    <t>South</t>
  </si>
  <si>
    <t>P002</t>
  </si>
  <si>
    <t>E103</t>
  </si>
  <si>
    <t>Aman Verma</t>
  </si>
  <si>
    <t>East</t>
  </si>
  <si>
    <t>P003</t>
  </si>
  <si>
    <t>E104</t>
  </si>
  <si>
    <t>Sneha Patel</t>
  </si>
  <si>
    <t>West</t>
  </si>
  <si>
    <t>P004</t>
  </si>
  <si>
    <t>E105</t>
  </si>
  <si>
    <t>Rohan Gupta</t>
  </si>
  <si>
    <t>P005</t>
  </si>
  <si>
    <t>E106</t>
  </si>
  <si>
    <t>Meena Iyer</t>
  </si>
  <si>
    <t>E107</t>
  </si>
  <si>
    <t>Deepak Rao</t>
  </si>
  <si>
    <t>E108</t>
  </si>
  <si>
    <t>Kavita Das</t>
  </si>
  <si>
    <t>E109</t>
  </si>
  <si>
    <t>Ajay Nair</t>
  </si>
  <si>
    <t>E110</t>
  </si>
  <si>
    <t>Neha Kulkarni</t>
  </si>
  <si>
    <t>Product Name</t>
  </si>
  <si>
    <t>Category</t>
  </si>
  <si>
    <t>Price per Unit</t>
  </si>
  <si>
    <t>Laptop</t>
  </si>
  <si>
    <t>Electronics</t>
  </si>
  <si>
    <t>Smartphone</t>
  </si>
  <si>
    <t>Headphones</t>
  </si>
  <si>
    <t>Accessories</t>
  </si>
  <si>
    <t>Printer</t>
  </si>
  <si>
    <t>Office Supplies</t>
  </si>
  <si>
    <t>Monitor</t>
  </si>
  <si>
    <t>Target Sales</t>
  </si>
  <si>
    <t>vlookup productname</t>
  </si>
  <si>
    <t>vlookup priceperunit</t>
  </si>
  <si>
    <t>Total Sales Value</t>
  </si>
  <si>
    <t>price per unit</t>
  </si>
  <si>
    <t>total revenue generate</t>
  </si>
  <si>
    <t>north</t>
  </si>
  <si>
    <t>south</t>
  </si>
  <si>
    <t>east</t>
  </si>
  <si>
    <t>west</t>
  </si>
  <si>
    <t>region</t>
  </si>
  <si>
    <t>Actual sales</t>
  </si>
  <si>
    <t>Result</t>
  </si>
  <si>
    <t>productname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</si>
</sst>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2" fillId="0" borderId="2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wrapText="1"/>
    </xf>
    <xf numFmtId="0" fontId="1" fillId="0" borderId="0" xfId="0" applyFont="1" applyAlignment="1">
      <alignment wrapText="1"/>
    </xf>
    <xf numFmtId="0" fontId="0" fillId="0" borderId="3" xfId="0" applyBorder="1"/>
    <xf numFmtId="0" fontId="3" fillId="0" borderId="3" xfId="0" applyFont="1" applyFill="1" applyBorder="1" applyAlignment="1">
      <alignment wrapText="1"/>
    </xf>
    <xf numFmtId="0" fontId="1" fillId="0" borderId="3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39785-B7B9-45AE-B1BE-7973F32B28EA}">
  <dimension ref="E5:R19"/>
  <sheetViews>
    <sheetView topLeftCell="A2" workbookViewId="0">
      <selection activeCell="F19" sqref="F19"/>
    </sheetView>
  </sheetViews>
  <sheetFormatPr defaultRowHeight="14.4" x14ac:dyDescent="0.3"/>
  <cols>
    <col min="6" max="6" width="8.44140625" bestFit="1" customWidth="1"/>
    <col min="7" max="7" width="9.44140625" customWidth="1"/>
  </cols>
  <sheetData>
    <row r="5" spans="6:18" ht="15" thickBot="1" x14ac:dyDescent="0.35"/>
    <row r="6" spans="6:18" ht="40.799999999999997" thickBot="1" x14ac:dyDescent="0.35">
      <c r="F6" s="1" t="s">
        <v>0</v>
      </c>
      <c r="G6" s="1" t="s">
        <v>1</v>
      </c>
      <c r="H6" s="1" t="s">
        <v>2</v>
      </c>
      <c r="I6" s="1" t="s">
        <v>3</v>
      </c>
      <c r="J6" s="1" t="s">
        <v>4</v>
      </c>
      <c r="K6" s="1" t="s">
        <v>5</v>
      </c>
      <c r="M6" s="5" t="s">
        <v>50</v>
      </c>
      <c r="O6" s="4" t="s">
        <v>49</v>
      </c>
      <c r="Q6" s="6" t="s">
        <v>59</v>
      </c>
      <c r="R6" s="6" t="s">
        <v>50</v>
      </c>
    </row>
    <row r="7" spans="6:18" ht="27.6" thickBot="1" x14ac:dyDescent="0.35">
      <c r="F7" s="2" t="s">
        <v>6</v>
      </c>
      <c r="G7" s="2" t="s">
        <v>7</v>
      </c>
      <c r="H7" s="2" t="s">
        <v>8</v>
      </c>
      <c r="I7" s="2" t="s">
        <v>9</v>
      </c>
      <c r="J7" s="3">
        <v>15</v>
      </c>
      <c r="K7" s="3">
        <v>45000</v>
      </c>
      <c r="M7">
        <f>K7/J7</f>
        <v>3000</v>
      </c>
      <c r="O7">
        <f>J7*M7</f>
        <v>45000</v>
      </c>
      <c r="Q7" t="str">
        <f>VLOOKUP(I7,product_master!$C$5:$F$9,2,FALSE)</f>
        <v>Laptop</v>
      </c>
      <c r="R7">
        <f>VLOOKUP(sales_data!I7,product_master!$C$5:$F$9,4,FALSE)</f>
        <v>3000</v>
      </c>
    </row>
    <row r="8" spans="6:18" ht="27.6" thickBot="1" x14ac:dyDescent="0.35">
      <c r="F8" s="2" t="s">
        <v>10</v>
      </c>
      <c r="G8" s="2" t="s">
        <v>11</v>
      </c>
      <c r="H8" s="2" t="s">
        <v>12</v>
      </c>
      <c r="I8" s="2" t="s">
        <v>13</v>
      </c>
      <c r="J8" s="3">
        <v>20</v>
      </c>
      <c r="K8" s="3">
        <v>60000</v>
      </c>
      <c r="M8">
        <f>K8/J8</f>
        <v>3000</v>
      </c>
      <c r="O8">
        <f t="shared" ref="O8:O16" si="0">J8*M8</f>
        <v>60000</v>
      </c>
      <c r="Q8" t="str">
        <f>VLOOKUP(I8,product_master!$C$5:$F$9,2,FALSE)</f>
        <v>Smartphone</v>
      </c>
      <c r="R8">
        <f>VLOOKUP(sales_data!I8,product_master!$C$5:$F$9,4,FALSE)</f>
        <v>3000</v>
      </c>
    </row>
    <row r="9" spans="6:18" ht="27.6" thickBot="1" x14ac:dyDescent="0.35">
      <c r="F9" s="2" t="s">
        <v>14</v>
      </c>
      <c r="G9" s="2" t="s">
        <v>15</v>
      </c>
      <c r="H9" s="2" t="s">
        <v>16</v>
      </c>
      <c r="I9" s="2" t="s">
        <v>17</v>
      </c>
      <c r="J9" s="3">
        <v>10</v>
      </c>
      <c r="K9" s="3">
        <v>35000</v>
      </c>
      <c r="M9">
        <f>K9/J9</f>
        <v>3500</v>
      </c>
      <c r="O9">
        <f t="shared" si="0"/>
        <v>35000</v>
      </c>
      <c r="Q9" t="str">
        <f>VLOOKUP(I9,product_master!$C$5:$F$9,2,FALSE)</f>
        <v>Headphones</v>
      </c>
      <c r="R9">
        <f>VLOOKUP(sales_data!I9,product_master!$C$5:$F$9,4,FALSE)</f>
        <v>3500</v>
      </c>
    </row>
    <row r="10" spans="6:18" ht="27.6" thickBot="1" x14ac:dyDescent="0.35">
      <c r="F10" s="2" t="s">
        <v>18</v>
      </c>
      <c r="G10" s="2" t="s">
        <v>19</v>
      </c>
      <c r="H10" s="2" t="s">
        <v>20</v>
      </c>
      <c r="I10" s="2" t="s">
        <v>21</v>
      </c>
      <c r="J10" s="3">
        <v>25</v>
      </c>
      <c r="K10" s="3">
        <v>125000</v>
      </c>
      <c r="M10">
        <f>K10/J10</f>
        <v>5000</v>
      </c>
      <c r="O10">
        <f t="shared" si="0"/>
        <v>125000</v>
      </c>
      <c r="Q10" t="str">
        <f>VLOOKUP(I10,product_master!$C$5:$F$9,2,FALSE)</f>
        <v>Printer</v>
      </c>
      <c r="R10">
        <f>VLOOKUP(sales_data!I10,product_master!$C$5:$F$9,4,FALSE)</f>
        <v>5000</v>
      </c>
    </row>
    <row r="11" spans="6:18" ht="27.6" thickBot="1" x14ac:dyDescent="0.35">
      <c r="F11" s="2" t="s">
        <v>22</v>
      </c>
      <c r="G11" s="2" t="s">
        <v>23</v>
      </c>
      <c r="H11" s="2" t="s">
        <v>8</v>
      </c>
      <c r="I11" s="2" t="s">
        <v>24</v>
      </c>
      <c r="J11" s="3">
        <v>12</v>
      </c>
      <c r="K11" s="3">
        <v>48000</v>
      </c>
      <c r="M11">
        <f>K11/J11</f>
        <v>4000</v>
      </c>
      <c r="O11">
        <f t="shared" si="0"/>
        <v>48000</v>
      </c>
      <c r="Q11" t="str">
        <f>VLOOKUP(I11,product_master!$C$5:$F$9,2,FALSE)</f>
        <v>Monitor</v>
      </c>
      <c r="R11">
        <f>VLOOKUP(sales_data!I11,product_master!$C$5:$F$9,4,FALSE)</f>
        <v>4000</v>
      </c>
    </row>
    <row r="12" spans="6:18" ht="27.6" thickBot="1" x14ac:dyDescent="0.35">
      <c r="F12" s="2" t="s">
        <v>25</v>
      </c>
      <c r="G12" s="2" t="s">
        <v>26</v>
      </c>
      <c r="H12" s="2" t="s">
        <v>16</v>
      </c>
      <c r="I12" s="2" t="s">
        <v>13</v>
      </c>
      <c r="J12" s="3">
        <v>18</v>
      </c>
      <c r="K12" s="3">
        <v>54000</v>
      </c>
      <c r="M12">
        <f>K12/J12</f>
        <v>3000</v>
      </c>
      <c r="O12">
        <f t="shared" si="0"/>
        <v>54000</v>
      </c>
      <c r="Q12" t="str">
        <f>VLOOKUP(I12,product_master!$C$5:$F$9,2,FALSE)</f>
        <v>Smartphone</v>
      </c>
      <c r="R12">
        <f>VLOOKUP(sales_data!I12,product_master!$C$5:$F$9,4,FALSE)</f>
        <v>3000</v>
      </c>
    </row>
    <row r="13" spans="6:18" ht="27.6" thickBot="1" x14ac:dyDescent="0.35">
      <c r="F13" s="2" t="s">
        <v>27</v>
      </c>
      <c r="G13" s="2" t="s">
        <v>28</v>
      </c>
      <c r="H13" s="2" t="s">
        <v>12</v>
      </c>
      <c r="I13" s="2" t="s">
        <v>17</v>
      </c>
      <c r="J13" s="3">
        <v>22</v>
      </c>
      <c r="K13" s="3">
        <v>77000</v>
      </c>
      <c r="M13">
        <f>K13/J13</f>
        <v>3500</v>
      </c>
      <c r="O13">
        <f t="shared" si="0"/>
        <v>77000</v>
      </c>
      <c r="Q13" t="str">
        <f>VLOOKUP(I13,product_master!$C$5:$F$9,2,FALSE)</f>
        <v>Headphones</v>
      </c>
      <c r="R13">
        <f>VLOOKUP(sales_data!I13,product_master!$C$5:$F$9,4,FALSE)</f>
        <v>3500</v>
      </c>
    </row>
    <row r="14" spans="6:18" ht="27.6" thickBot="1" x14ac:dyDescent="0.35">
      <c r="F14" s="2" t="s">
        <v>29</v>
      </c>
      <c r="G14" s="2" t="s">
        <v>30</v>
      </c>
      <c r="H14" s="2" t="s">
        <v>20</v>
      </c>
      <c r="I14" s="2" t="s">
        <v>9</v>
      </c>
      <c r="J14" s="3">
        <v>30</v>
      </c>
      <c r="K14" s="3">
        <v>90000</v>
      </c>
      <c r="M14">
        <f>K14/J14</f>
        <v>3000</v>
      </c>
      <c r="O14">
        <f t="shared" si="0"/>
        <v>90000</v>
      </c>
      <c r="Q14" t="str">
        <f>VLOOKUP(I14,product_master!$C$5:$F$9,2,FALSE)</f>
        <v>Laptop</v>
      </c>
      <c r="R14">
        <f>VLOOKUP(sales_data!I14,product_master!$C$5:$F$9,4,FALSE)</f>
        <v>3000</v>
      </c>
    </row>
    <row r="15" spans="6:18" ht="15" thickBot="1" x14ac:dyDescent="0.35">
      <c r="F15" s="2" t="s">
        <v>31</v>
      </c>
      <c r="G15" s="2" t="s">
        <v>32</v>
      </c>
      <c r="H15" s="2" t="s">
        <v>8</v>
      </c>
      <c r="I15" s="2" t="s">
        <v>21</v>
      </c>
      <c r="J15" s="3">
        <v>14</v>
      </c>
      <c r="K15" s="3">
        <v>70000</v>
      </c>
      <c r="M15">
        <f>K15/J15</f>
        <v>5000</v>
      </c>
      <c r="O15">
        <f t="shared" si="0"/>
        <v>70000</v>
      </c>
      <c r="Q15" t="str">
        <f>VLOOKUP(I15,product_master!$C$5:$F$9,2,FALSE)</f>
        <v>Printer</v>
      </c>
      <c r="R15">
        <f>VLOOKUP(sales_data!I15,product_master!$C$5:$F$9,4,FALSE)</f>
        <v>5000</v>
      </c>
    </row>
    <row r="16" spans="6:18" ht="27.6" thickBot="1" x14ac:dyDescent="0.35">
      <c r="F16" s="2" t="s">
        <v>33</v>
      </c>
      <c r="G16" s="2" t="s">
        <v>34</v>
      </c>
      <c r="H16" s="2" t="s">
        <v>16</v>
      </c>
      <c r="I16" s="2" t="s">
        <v>24</v>
      </c>
      <c r="J16" s="3">
        <v>8</v>
      </c>
      <c r="K16" s="3">
        <v>32000</v>
      </c>
      <c r="M16">
        <f>K16/J16</f>
        <v>4000</v>
      </c>
      <c r="O16">
        <f t="shared" si="0"/>
        <v>32000</v>
      </c>
      <c r="Q16" t="str">
        <f>VLOOKUP(I16,product_master!$C$5:$F$9,2,FALSE)</f>
        <v>Monitor</v>
      </c>
      <c r="R16">
        <f>VLOOKUP(sales_data!I16,product_master!$C$5:$F$9,4,FALSE)</f>
        <v>4000</v>
      </c>
    </row>
    <row r="18" spans="5:15" ht="43.2" x14ac:dyDescent="0.3">
      <c r="E18" s="9" t="s">
        <v>56</v>
      </c>
      <c r="F18" s="8" t="s">
        <v>52</v>
      </c>
      <c r="G18" s="8" t="s">
        <v>53</v>
      </c>
      <c r="H18" s="8" t="s">
        <v>54</v>
      </c>
      <c r="I18" s="8" t="s">
        <v>55</v>
      </c>
      <c r="N18" s="6" t="s">
        <v>51</v>
      </c>
      <c r="O18">
        <f>SUM(O7:O16)</f>
        <v>636000</v>
      </c>
    </row>
    <row r="19" spans="5:15" x14ac:dyDescent="0.3">
      <c r="E19" s="9" t="s">
        <v>57</v>
      </c>
      <c r="F19" s="7">
        <f>SUMIF($H$7:$H$16,H7,$K$7:$K$16)</f>
        <v>163000</v>
      </c>
      <c r="G19" s="7">
        <f>SUMIF($H$7:$H$16,H8,$K$7:$K$16)</f>
        <v>137000</v>
      </c>
      <c r="H19" s="7">
        <f>SUMIF($H$7:$H$16,H9,$K$7:$K$16)</f>
        <v>121000</v>
      </c>
      <c r="I19" s="7">
        <f>SUMIF($H$7:$H$16,H10,$K$7:$K$16)</f>
        <v>215000</v>
      </c>
    </row>
  </sheetData>
  <dataValidations count="2">
    <dataValidation type="list" allowBlank="1" showInputMessage="1" showErrorMessage="1" sqref="H6:H15" xr:uid="{A3152362-C237-4430-BEB5-DE8E11054949}">
      <formula1>$H$7:$H$16</formula1>
    </dataValidation>
    <dataValidation type="list" allowBlank="1" showInputMessage="1" showErrorMessage="1" sqref="H16" xr:uid="{891519B1-1BAE-43BC-93EA-5DEE2AF3F086}">
      <formula1>$H$7:$H$10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93C4A-0BB0-412E-AEC4-E8FE0BA77CE4}">
  <dimension ref="C3:J9"/>
  <sheetViews>
    <sheetView topLeftCell="A2" workbookViewId="0">
      <selection activeCell="F20" sqref="F20"/>
    </sheetView>
  </sheetViews>
  <sheetFormatPr defaultRowHeight="14.4" x14ac:dyDescent="0.3"/>
  <cols>
    <col min="8" max="8" width="11.5546875" customWidth="1"/>
  </cols>
  <sheetData>
    <row r="3" spans="3:10" ht="15" thickBot="1" x14ac:dyDescent="0.35"/>
    <row r="4" spans="3:10" ht="40.799999999999997" thickBot="1" x14ac:dyDescent="0.35">
      <c r="C4" s="1" t="s">
        <v>3</v>
      </c>
      <c r="D4" s="1" t="s">
        <v>35</v>
      </c>
      <c r="E4" s="1" t="s">
        <v>36</v>
      </c>
      <c r="F4" s="1" t="s">
        <v>37</v>
      </c>
      <c r="H4" s="4" t="s">
        <v>47</v>
      </c>
      <c r="J4" s="5" t="s">
        <v>48</v>
      </c>
    </row>
    <row r="5" spans="3:10" ht="27.6" thickBot="1" x14ac:dyDescent="0.35">
      <c r="C5" s="2" t="s">
        <v>9</v>
      </c>
      <c r="D5" s="2" t="s">
        <v>38</v>
      </c>
      <c r="E5" s="2" t="s">
        <v>39</v>
      </c>
      <c r="F5" s="3">
        <v>3000</v>
      </c>
      <c r="H5" t="e" cm="1">
        <f t="array" ref="H5">VLOOKUP(sales_data!F20=sumD5,$C$5:$F$9,2,FALSE)</f>
        <v>#NAME?</v>
      </c>
      <c r="J5" t="e">
        <f>VLOOKUP(F5,$C$5:$F$9,4,FALSE)</f>
        <v>#N/A</v>
      </c>
    </row>
    <row r="6" spans="3:10" ht="27.6" thickBot="1" x14ac:dyDescent="0.35">
      <c r="C6" s="2" t="s">
        <v>13</v>
      </c>
      <c r="D6" s="2" t="s">
        <v>40</v>
      </c>
      <c r="E6" s="2" t="s">
        <v>39</v>
      </c>
      <c r="F6" s="3">
        <v>3000</v>
      </c>
    </row>
    <row r="7" spans="3:10" ht="27.6" thickBot="1" x14ac:dyDescent="0.35">
      <c r="C7" s="2" t="s">
        <v>17</v>
      </c>
      <c r="D7" s="2" t="s">
        <v>41</v>
      </c>
      <c r="E7" s="2" t="s">
        <v>42</v>
      </c>
      <c r="F7" s="3">
        <v>3500</v>
      </c>
    </row>
    <row r="8" spans="3:10" ht="27.6" thickBot="1" x14ac:dyDescent="0.35">
      <c r="C8" s="2" t="s">
        <v>21</v>
      </c>
      <c r="D8" s="2" t="s">
        <v>43</v>
      </c>
      <c r="E8" s="2" t="s">
        <v>44</v>
      </c>
      <c r="F8" s="3">
        <v>5000</v>
      </c>
    </row>
    <row r="9" spans="3:10" ht="27.6" thickBot="1" x14ac:dyDescent="0.35">
      <c r="C9" s="2" t="s">
        <v>24</v>
      </c>
      <c r="D9" s="2" t="s">
        <v>45</v>
      </c>
      <c r="E9" s="2" t="s">
        <v>39</v>
      </c>
      <c r="F9" s="3">
        <v>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F5A28-A2CE-4185-974D-8E5C9D321B93}">
  <dimension ref="C3:L7"/>
  <sheetViews>
    <sheetView tabSelected="1" topLeftCell="A2" workbookViewId="0">
      <selection activeCell="M19" sqref="M19"/>
    </sheetView>
  </sheetViews>
  <sheetFormatPr defaultRowHeight="14.4" x14ac:dyDescent="0.3"/>
  <sheetData>
    <row r="3" spans="3:12" ht="15" thickBot="1" x14ac:dyDescent="0.35"/>
    <row r="4" spans="3:12" ht="15" thickBot="1" x14ac:dyDescent="0.35">
      <c r="C4" s="1" t="s">
        <v>2</v>
      </c>
      <c r="D4" s="1" t="s">
        <v>8</v>
      </c>
      <c r="E4" s="1" t="s">
        <v>12</v>
      </c>
      <c r="F4" s="1" t="s">
        <v>16</v>
      </c>
      <c r="G4" s="1" t="s">
        <v>20</v>
      </c>
      <c r="I4" s="4"/>
      <c r="J4" s="4"/>
      <c r="K4" s="4"/>
      <c r="L4" s="4"/>
    </row>
    <row r="5" spans="3:12" ht="27.6" thickBot="1" x14ac:dyDescent="0.35">
      <c r="C5" s="2" t="s">
        <v>46</v>
      </c>
      <c r="D5" s="3">
        <v>150000</v>
      </c>
      <c r="E5" s="3">
        <v>140000</v>
      </c>
      <c r="F5" s="3">
        <v>120000</v>
      </c>
      <c r="G5" s="3">
        <v>160000</v>
      </c>
    </row>
    <row r="6" spans="3:12" x14ac:dyDescent="0.3">
      <c r="C6" t="s">
        <v>57</v>
      </c>
      <c r="D6">
        <v>163000</v>
      </c>
      <c r="E6">
        <v>137000</v>
      </c>
      <c r="F6">
        <v>121000</v>
      </c>
      <c r="G6">
        <v>215000</v>
      </c>
    </row>
    <row r="7" spans="3:12" x14ac:dyDescent="0.3">
      <c r="C7" s="10" t="s">
        <v>58</v>
      </c>
      <c r="D7" t="str">
        <f>IF(D6&gt;=D5,"Achieved","not achieved")</f>
        <v>Achieved</v>
      </c>
      <c r="E7" t="str">
        <f t="shared" ref="E7:G7" si="0">IF(E6&gt;=E5,"Achieved","not achieved")</f>
        <v>not achieved</v>
      </c>
      <c r="F7" t="str">
        <f t="shared" si="0"/>
        <v>Achieved</v>
      </c>
      <c r="G7" t="str">
        <f t="shared" si="0"/>
        <v>Achieved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product_master</vt:lpstr>
      <vt:lpstr>monthly_target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 Barai</dc:creator>
  <cp:lastModifiedBy>Hemant Barai</cp:lastModifiedBy>
  <dcterms:created xsi:type="dcterms:W3CDTF">2025-11-01T06:11:25Z</dcterms:created>
  <dcterms:modified xsi:type="dcterms:W3CDTF">2025-11-01T08:57:37Z</dcterms:modified>
</cp:coreProperties>
</file>